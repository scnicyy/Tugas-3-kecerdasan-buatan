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ULIAH UCI\2. SEMESTER 3\3. Kecerdasan Buatan AI\"/>
    </mc:Choice>
  </mc:AlternateContent>
  <xr:revisionPtr revIDLastSave="0" documentId="8_{76D79F01-05C3-4324-8786-FEDC5D7E6684}" xr6:coauthVersionLast="45" xr6:coauthVersionMax="45" xr10:uidLastSave="{00000000-0000-0000-0000-000000000000}"/>
  <bookViews>
    <workbookView xWindow="-120" yWindow="-120" windowWidth="20730" windowHeight="11160" xr2:uid="{65A85459-8802-4553-B50F-033C1D4BED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7" i="1" l="1"/>
  <c r="F16" i="1"/>
  <c r="F14" i="1"/>
  <c r="F13" i="1"/>
  <c r="E6" i="1"/>
  <c r="E5" i="1"/>
  <c r="E3" i="1"/>
  <c r="E4" i="1"/>
</calcChain>
</file>

<file path=xl/sharedStrings.xml><?xml version="1.0" encoding="utf-8"?>
<sst xmlns="http://schemas.openxmlformats.org/spreadsheetml/2006/main" count="20" uniqueCount="19">
  <si>
    <t>no</t>
  </si>
  <si>
    <t>kondisi</t>
  </si>
  <si>
    <t>jumlah</t>
  </si>
  <si>
    <t>presentasi</t>
  </si>
  <si>
    <t>lemot</t>
  </si>
  <si>
    <t>kena virus</t>
  </si>
  <si>
    <t>normal</t>
  </si>
  <si>
    <t>TOTAL</t>
  </si>
  <si>
    <t>teori bayes</t>
  </si>
  <si>
    <t>E</t>
  </si>
  <si>
    <t>E1</t>
  </si>
  <si>
    <t>E2</t>
  </si>
  <si>
    <t>Bintik</t>
  </si>
  <si>
    <t>Panas</t>
  </si>
  <si>
    <t>MB</t>
  </si>
  <si>
    <t>MD</t>
  </si>
  <si>
    <t>CF bintik</t>
  </si>
  <si>
    <t>CF bintik panas</t>
  </si>
  <si>
    <t>pada soal nomor 3 tidak perlu dicari lagi karena p(lemot) sudah jelas 25% nilai awal probabilitas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</si>
</sst>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10" fontId="0" fillId="0" borderId="0" xfId="0" applyNumberFormat="1"/>
    <xf numFmtId="0" fontId="0" fillId="0" borderId="1" xfId="0" applyBorder="1" applyAlignment="1">
      <alignment horizontal="right"/>
    </xf>
    <xf numFmtId="10" fontId="0" fillId="0" borderId="1" xfId="0" applyNumberFormat="1" applyBorder="1" applyAlignment="1">
      <alignment horizontal="right"/>
    </xf>
    <xf numFmtId="0" fontId="0" fillId="0" borderId="1" xfId="0" applyBorder="1"/>
    <xf numFmtId="10" fontId="0" fillId="0" borderId="1" xfId="0" applyNumberFormat="1" applyBorder="1"/>
    <xf numFmtId="0" fontId="0" fillId="0" borderId="1" xfId="0" applyNumberFormat="1" applyBorder="1"/>
    <xf numFmtId="0" fontId="0" fillId="0" borderId="2" xfId="0" applyBorder="1"/>
    <xf numFmtId="10" fontId="0" fillId="0" borderId="3" xfId="0" applyNumberFormat="1" applyBorder="1"/>
    <xf numFmtId="0" fontId="0" fillId="0" borderId="4" xfId="0" applyBorder="1"/>
    <xf numFmtId="10" fontId="0" fillId="0" borderId="5" xfId="0" applyNumberFormat="1" applyBorder="1"/>
    <xf numFmtId="9" fontId="0" fillId="0" borderId="1" xfId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Sheet1!$D$2</c:f>
              <c:strCache>
                <c:ptCount val="1"/>
                <c:pt idx="0">
                  <c:v>jumlah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Sheet1!$B$3:$C$5</c:f>
              <c:multiLvlStrCache>
                <c:ptCount val="3"/>
                <c:lvl>
                  <c:pt idx="0">
                    <c:v>lemot</c:v>
                  </c:pt>
                  <c:pt idx="1">
                    <c:v>kena virus</c:v>
                  </c:pt>
                  <c:pt idx="2">
                    <c:v>normal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</c:lvl>
              </c:multiLvlStrCache>
            </c:multiLvlStrRef>
          </c:cat>
          <c:val>
            <c:numRef>
              <c:f>Sheet1!$D$3:$D$5</c:f>
              <c:numCache>
                <c:formatCode>General</c:formatCode>
                <c:ptCount val="3"/>
                <c:pt idx="0">
                  <c:v>10</c:v>
                </c:pt>
                <c:pt idx="1">
                  <c:v>8</c:v>
                </c:pt>
                <c:pt idx="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87-4938-ACFC-903589784043}"/>
            </c:ext>
          </c:extLst>
        </c:ser>
        <c:ser>
          <c:idx val="1"/>
          <c:order val="1"/>
          <c:tx>
            <c:strRef>
              <c:f>Sheet1!$E$2</c:f>
              <c:strCache>
                <c:ptCount val="1"/>
                <c:pt idx="0">
                  <c:v>presentasi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Sheet1!$B$3:$C$5</c:f>
              <c:multiLvlStrCache>
                <c:ptCount val="3"/>
                <c:lvl>
                  <c:pt idx="0">
                    <c:v>lemot</c:v>
                  </c:pt>
                  <c:pt idx="1">
                    <c:v>kena virus</c:v>
                  </c:pt>
                  <c:pt idx="2">
                    <c:v>normal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</c:lvl>
              </c:multiLvlStrCache>
            </c:multiLvlStrRef>
          </c:cat>
          <c:val>
            <c:numRef>
              <c:f>Sheet1!$E$3:$E$5</c:f>
              <c:numCache>
                <c:formatCode>0.00%</c:formatCode>
                <c:ptCount val="3"/>
                <c:pt idx="0">
                  <c:v>0.25</c:v>
                </c:pt>
                <c:pt idx="1">
                  <c:v>0.2</c:v>
                </c:pt>
                <c:pt idx="2">
                  <c:v>0.55000000000000004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87-4938-ACFC-903589784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542924</xdr:colOff>
      <xdr:row>0</xdr:row>
      <xdr:rowOff>109537</xdr:rowOff>
    </xdr:from>
    <xdr:to>
      <xdr:col>14</xdr:col>
      <xdr:colOff>0</xdr:colOff>
      <xdr:row>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6B762D-F3C3-4761-B4E4-BA4193BB21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7EAF0-31AD-459C-A33F-7F74ED9F22CC}">
  <dimension ref="B2:F17"/>
  <sheetViews>
    <sheetView tabSelected="1" workbookViewId="0">
      <selection activeCell="B9" sqref="B9"/>
    </sheetView>
  </sheetViews>
  <sheetFormatPr defaultRowHeight="15" x14ac:dyDescent="0.25"/>
  <cols>
    <col min="3" max="3" width="10.28515625" customWidth="1"/>
    <col min="5" max="5" width="13.42578125" style="1" customWidth="1"/>
    <col min="6" max="6" width="12.140625" customWidth="1"/>
  </cols>
  <sheetData>
    <row r="2" spans="2:6" x14ac:dyDescent="0.25">
      <c r="B2" s="2" t="s">
        <v>0</v>
      </c>
      <c r="C2" s="2" t="s">
        <v>1</v>
      </c>
      <c r="D2" s="2" t="s">
        <v>2</v>
      </c>
      <c r="E2" s="3" t="s">
        <v>3</v>
      </c>
      <c r="F2" s="4" t="s">
        <v>8</v>
      </c>
    </row>
    <row r="3" spans="2:6" x14ac:dyDescent="0.25">
      <c r="B3" s="2">
        <v>1</v>
      </c>
      <c r="C3" s="2" t="s">
        <v>4</v>
      </c>
      <c r="D3" s="2">
        <v>10</v>
      </c>
      <c r="E3" s="3">
        <f>D3/SUM(D6)</f>
        <v>0.25</v>
      </c>
      <c r="F3" s="4"/>
    </row>
    <row r="4" spans="2:6" x14ac:dyDescent="0.25">
      <c r="B4" s="2">
        <v>2</v>
      </c>
      <c r="C4" s="2" t="s">
        <v>5</v>
      </c>
      <c r="D4" s="2">
        <v>8</v>
      </c>
      <c r="E4" s="3">
        <f>D4/SUM(D6)</f>
        <v>0.2</v>
      </c>
      <c r="F4" s="4"/>
    </row>
    <row r="5" spans="2:6" x14ac:dyDescent="0.25">
      <c r="B5" s="2">
        <v>3</v>
      </c>
      <c r="C5" s="2" t="s">
        <v>6</v>
      </c>
      <c r="D5" s="2">
        <v>22</v>
      </c>
      <c r="E5" s="3">
        <f>D5/SUM(D6)</f>
        <v>0.55000000000000004</v>
      </c>
      <c r="F5" s="4"/>
    </row>
    <row r="6" spans="2:6" x14ac:dyDescent="0.25">
      <c r="B6" s="2"/>
      <c r="C6" s="2" t="s">
        <v>7</v>
      </c>
      <c r="D6" s="2">
        <v>40</v>
      </c>
      <c r="E6" s="3">
        <f>D6/SUM(D3:D5)</f>
        <v>1</v>
      </c>
      <c r="F6" s="4"/>
    </row>
    <row r="9" spans="2:6" x14ac:dyDescent="0.25">
      <c r="B9" t="s">
        <v>18</v>
      </c>
    </row>
    <row r="12" spans="2:6" x14ac:dyDescent="0.25">
      <c r="B12" s="4" t="s">
        <v>0</v>
      </c>
      <c r="C12" s="4" t="s">
        <v>9</v>
      </c>
      <c r="D12" s="4" t="s">
        <v>14</v>
      </c>
      <c r="E12" s="5" t="s">
        <v>15</v>
      </c>
      <c r="F12" s="4"/>
    </row>
    <row r="13" spans="2:6" x14ac:dyDescent="0.25">
      <c r="B13" s="4" t="s">
        <v>10</v>
      </c>
      <c r="C13" s="4" t="s">
        <v>12</v>
      </c>
      <c r="D13" s="4">
        <v>0.8</v>
      </c>
      <c r="E13" s="6">
        <v>0.01</v>
      </c>
      <c r="F13" s="6">
        <f>D13-E13</f>
        <v>0.79</v>
      </c>
    </row>
    <row r="14" spans="2:6" x14ac:dyDescent="0.25">
      <c r="B14" s="4" t="s">
        <v>11</v>
      </c>
      <c r="C14" s="4" t="s">
        <v>13</v>
      </c>
      <c r="D14" s="4">
        <v>0.7</v>
      </c>
      <c r="E14" s="6">
        <v>0.05</v>
      </c>
      <c r="F14" s="4">
        <f>D14-E14</f>
        <v>0.64999999999999991</v>
      </c>
    </row>
    <row r="16" spans="2:6" x14ac:dyDescent="0.25">
      <c r="D16" s="7" t="s">
        <v>16</v>
      </c>
      <c r="E16" s="8"/>
      <c r="F16" s="11">
        <f>F13</f>
        <v>0.79</v>
      </c>
    </row>
    <row r="17" spans="4:6" x14ac:dyDescent="0.25">
      <c r="D17" s="9" t="s">
        <v>17</v>
      </c>
      <c r="E17" s="10"/>
      <c r="F17" s="11">
        <f>F13+F14*(1-F13)</f>
        <v>0.92649999999999999</v>
      </c>
    </row>
  </sheetData>
  <pageMargins left="0.7" right="0.7" top="0.75" bottom="0.75" header="0.3" footer="0.3"/>
  <pageSetup paperSize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2026-09-23T01:50:43Z</dcterms:created>
  <dcterms:modified xsi:type="dcterms:W3CDTF">2026-09-23T02:53:51Z</dcterms:modified>
</cp:coreProperties>
</file>